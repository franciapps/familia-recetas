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e" sheetId="1" state="visible" r:id="rId3"/>
    <sheet name="Menu S1" sheetId="2" state="visible" r:id="rId4"/>
    <sheet name="Menu S2" sheetId="3" state="visible" r:id="rId5"/>
    <sheet name="Menu S3" sheetId="4" state="visible" r:id="rId6"/>
    <sheet name="Dispensa" sheetId="5" state="visible" r:id="rId7"/>
    <sheet name="Spesa S1" sheetId="6" state="visible" r:id="rId8"/>
    <sheet name="Spesa S2" sheetId="7" state="visible" r:id="rId9"/>
    <sheet name="Spesa S3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<sst xmlns="http://schemas.openxmlformats.org/spreadsheetml/2006/main" count="398" uniqueCount="210">
  <si>
    <t xml:space="preserve">RIEPILOGO COSTI — 3 SETTIMANE</t>
  </si>
  <si>
    <t xml:space="preserve">Voce</t>
  </si>
  <si>
    <t xml:space="preserve">Foglio</t>
  </si>
  <si>
    <t xml:space="preserve">MXN</t>
  </si>
  <si>
    <t xml:space="preserve">Dispensa iniziale</t>
  </si>
  <si>
    <t xml:space="preserve">Dispensa</t>
  </si>
  <si>
    <t xml:space="preserve">Spesa Settimana 1</t>
  </si>
  <si>
    <t xml:space="preserve">Spesa S1</t>
  </si>
  <si>
    <t xml:space="preserve">Spesa Settimana 2</t>
  </si>
  <si>
    <t xml:space="preserve">Spesa S2</t>
  </si>
  <si>
    <t xml:space="preserve">Spesa Settimana 3</t>
  </si>
  <si>
    <t xml:space="preserve">Spesa S3</t>
  </si>
  <si>
    <t xml:space="preserve">TOTALE 3 SETTIMANE</t>
  </si>
  <si>
    <t xml:space="preserve">Media settimanale (freschi, esclusa dispensa)</t>
  </si>
  <si>
    <t xml:space="preserve">IPOTESI / NOTE</t>
  </si>
  <si>
    <t xml:space="preserve">• Pollo: 120 MXN/kg — 3 polli da ~1.5 kg su 3 settimane = 4.5 kg = 540 MXN.</t>
  </si>
  <si>
    <t xml:space="preserve">• Pesce: ~280 MXN/kg (huachinango medio). Per abbassare, mojarra/sierra ~200 MXN/kg.</t>
  </si>
  <si>
    <t xml:space="preserve">• Prezzi mercato/tianguis. Al supermercato aggiungi 20-40%.</t>
  </si>
  <si>
    <t xml:space="preserve">• Piselli e mais surgelati consigliati se disponibili.</t>
  </si>
  <si>
    <t xml:space="preserve">• Celle in blu = input modificabili — MXN sono hardcoded, modifica direttamente per ricalcolare.</t>
  </si>
  <si>
    <t xml:space="preserve">• Ricicli principali: lun cena da lun pranzo | mar pranzo da lun pranzo | mer cena da mer pranzo | ven pranzo da gio cena.</t>
  </si>
  <si>
    <t xml:space="preserve">MENU SETTIMANA 1</t>
  </si>
  <si>
    <t xml:space="preserve">Giorno</t>
  </si>
  <si>
    <t xml:space="preserve">Chi pranza</t>
  </si>
  <si>
    <t xml:space="preserve">Colazione</t>
  </si>
  <si>
    <t xml:space="preserve">Pranzo</t>
  </si>
  <si>
    <t xml:space="preserve">Cena</t>
  </si>
  <si>
    <t xml:space="preserve">LUN</t>
  </si>
  <si>
    <t xml:space="preserve">Pranzo: marito + 2 staff + bimbo
Cena: famiglia (easy)</t>
  </si>
  <si>
    <t xml:space="preserve">Pancake semola e banana
👶 uguale schiacciato</t>
  </si>
  <si>
    <t xml:space="preserve">Frijoles de olla con spinaci, carote e pomodoro + riso + tortillas (abbondante → avanza per cena e mar)
👶 pappa lenticchie congelata + carote passate</t>
  </si>
  <si>
    <t xml:space="preserve">🔄 moglie: frijoles + riso avanzati
marito: quesadilla con queso oaxaca
bimbo grande: fagioli + riso</t>
  </si>
  <si>
    <t xml:space="preserve">MAR</t>
  </si>
  <si>
    <t xml:space="preserve">Pranzo: moglie + 1 staff + bimbo
Cena: famiglia</t>
  </si>
  <si>
    <t xml:space="preserve">Avena cremosa con yogurt e frutta
👶 avena con pera</t>
  </si>
  <si>
    <t xml:space="preserve">🔄 Calabacitas con elote (zucchine, mais, pomodoro, cipolla) + riso + frijoles refritos dai fagioli di lun + tortilla
👶 zucchine, mais e fagioli passati</t>
  </si>
  <si>
    <t xml:space="preserve">Pasta con melanzane e pomodoro (CB) + parmigiano + insalata di lattuga e pepino
👶 frulla</t>
  </si>
  <si>
    <t xml:space="preserve">MER</t>
  </si>
  <si>
    <t xml:space="preserve">Pranzo: 2 staff + bimbo
Cena: famiglia</t>
  </si>
  <si>
    <t xml:space="preserve">Pancake semola e banana
👶 schiacciato</t>
  </si>
  <si>
    <t xml:space="preserve">Lentejas guisadas a la mexicana con carote, spinaci, pomodoro + riso (abbondante, economico)
👶 frulla la zuppa (senza sale)</t>
  </si>
  <si>
    <t xml:space="preserve">🔄 Pasta al ragù di lenticchie (CB) dalle avanzate + bieta (acelga) + parmigiano
👶 frulla</t>
  </si>
  <si>
    <t xml:space="preserve">GIO</t>
  </si>
  <si>
    <t xml:space="preserve">Avena cremosa yogurt e frutta
👶 avena con mela</t>
  </si>
  <si>
    <t xml:space="preserve">Arroz a la mexicana con huevo estrellado + insalata di pepino e jitomate
👶 pappa lenticchie congelata + zucchine passate</t>
  </si>
  <si>
    <t xml:space="preserve">Pollo arrosto con broccoli e carote al forno
👶 frulla</t>
  </si>
  <si>
    <t xml:space="preserve">VEN</t>
  </si>
  <si>
    <t xml:space="preserve">Pranzo: moglie + marito + 1 staff + bimbo
Cena: famiglia</t>
  </si>
  <si>
    <t xml:space="preserve">🔄 Tacos di pollo avanzato con salsa verde di tomatillo, avocado e cipolla + insalata di pepino
👶 pollo sfilacciato + avocado + riso</t>
  </si>
  <si>
    <t xml:space="preserve">Pesce al forno con carote, zucchine e piselli + spinaci saltati
👶 frulla tutto
🛒 Compra queso panela + bieta extra per sett. 3</t>
  </si>
  <si>
    <t xml:space="preserve">Note</t>
  </si>
  <si>
    <t xml:space="preserve">🔄 = riciclo avanzi  |  👶 = adatta per bimbo 7m (mai queso oaxaca/panela, no sale)</t>
  </si>
  <si>
    <t xml:space="preserve">Pappa lenticchie congelata: lun + gio pranzo (preparata nel weekend).</t>
  </si>
  <si>
    <t xml:space="preserve">MENU SETTIMANA 2</t>
  </si>
  <si>
    <t xml:space="preserve">Porridge avena e mela cotta
👶 avena con mela</t>
  </si>
  <si>
    <t xml:space="preserve">Frijoles negros guisados con carote, pomodoro, cipolla, epazote + riso + tortillas (abbondante → base per enfrijoladas)
👶 pappa lenticchie congelata + carote</t>
  </si>
  <si>
    <t xml:space="preserve">🔄 moglie: avanzi frijoles + riso
marito: huevos rancheros veloci
bimbo grande: porzione fagioli/riso</t>
  </si>
  <si>
    <t xml:space="preserve">Pane tostato con queso panela e marmellata
👶 pane ammollato nel latte</t>
  </si>
  <si>
    <t xml:space="preserve">🔄 Enfrijoladas (tortillas in salsa di fagioli neri frullati) con queso oaxaca + insalata di pomodoro e pepino
👶 fagioli passati + riso (no queso)</t>
  </si>
  <si>
    <t xml:space="preserve">Pasta al pesto di piselli e menta (CB) + parmigiano + insalata mista
👶 frulla</t>
  </si>
  <si>
    <t xml:space="preserve">Porridge avena e banana
👶 avena con banana</t>
  </si>
  <si>
    <t xml:space="preserve">Guisado de garbanzo con carote, spinaci e pomodoro + riso (abbondante)
👶 frulla ceci+verdure (senza sale)</t>
  </si>
  <si>
    <t xml:space="preserve">🔄 Pasta e ceci (CB) dai ceci riciclati + crostini + EVO
👶 frulla</t>
  </si>
  <si>
    <t xml:space="preserve">Yogurt con granola e frutta
👶 yogurt con pera frullata</t>
  </si>
  <si>
    <t xml:space="preserve">Tortitas de espinaca (polpette uova-spinaci) in salsa di pomodoro + riso
👶 pappa lenticchie congelata + zucchine passate</t>
  </si>
  <si>
    <t xml:space="preserve">Pollo al limone e rosmarino con patate al forno e zucchine grigliate
👶 frulla</t>
  </si>
  <si>
    <t xml:space="preserve">Pancake avena e banana
👶 schiacciato</t>
  </si>
  <si>
    <t xml:space="preserve">🔄 Insalata di farro con pollo avanzato, piselli, pomodorini, pepino, queso oaxaca, EVO + pane
👶 farro sminuzzato + pollo passato + piselli</t>
  </si>
  <si>
    <t xml:space="preserve">Pesce all'acqua pazza (pomodorini, olive, capperi) con patate e broccoli
👶 frulla
🛒 Compra ceci secchi + bieta per sett. 3</t>
  </si>
  <si>
    <t xml:space="preserve">MENU SETTIMANA 3</t>
  </si>
  <si>
    <t xml:space="preserve">Sopa azteca (zuppa di tortilla con fagioli neri, avocado, queso oaxaca) + riso (abbondante)
👶 pappa lenticchie congelata + carote (no chili, no queso)</t>
  </si>
  <si>
    <t xml:space="preserve">🔄 moglie: avanzi sopa
marito: molletes (pane + frijoles refritos + queso oaxaca al grill)</t>
  </si>
  <si>
    <t xml:space="preserve">Avena cremosa con frutta
👶 avena con pera</t>
  </si>
  <si>
    <t xml:space="preserve">🔄 Tortitas de brócoli en salsa verde (broccoli + uova + tomatillo) + riso + fagioli avanzati + insalata
👶 broccoli e uovo passati</t>
  </si>
  <si>
    <t xml:space="preserve">Spezzatino di pollo alle olive e pomodoro con polenta o riso + insalata
👶 frulla</t>
  </si>
  <si>
    <t xml:space="preserve">Albóndigas di lenticchie in caldillo di pomodoro + riso (abbondante)
👶 frulla lenticchie e sugo (senza sale)</t>
  </si>
  <si>
    <t xml:space="preserve">🔄 Pasta al sugo con polpettine di lenticchie avanzate + bieta saltata + parmigiano
👶 frulla</t>
  </si>
  <si>
    <t xml:space="preserve">Avena con yogurt e frutta
👶 avena con mela</t>
  </si>
  <si>
    <t xml:space="preserve">Huevos a la mexicana (uova strapazzate con pomodoro, cipolla) + frijoles refritos + tortilla
👶 pappa lenticchie congelata + zucchine</t>
  </si>
  <si>
    <t xml:space="preserve">Torta salata di bieta e queso panela (CB, panela al posto della ricotta) + insalata
👶 bieta passata + pasta (no queso)</t>
  </si>
  <si>
    <t xml:space="preserve">🔄 Torta salata avanzata + insalata di farro con piselli, pomodorini, pepino, EVO
👶 farro sminuzzato + verdure passate (no queso)</t>
  </si>
  <si>
    <t xml:space="preserve">Pesce in crosta di erbe al forno con patate al forno + broccoli al vapore
👶 frulla tutto</t>
  </si>
  <si>
    <t xml:space="preserve">DISPENSA — Acquisto iniziale (3 settimane)</t>
  </si>
  <si>
    <t xml:space="preserve">Categoria</t>
  </si>
  <si>
    <t xml:space="preserve">Articolo</t>
  </si>
  <si>
    <t xml:space="preserve">Quantità</t>
  </si>
  <si>
    <t xml:space="preserve">Cereali/pasta</t>
  </si>
  <si>
    <t xml:space="preserve">Riso bianco</t>
  </si>
  <si>
    <t xml:space="preserve">3 kg</t>
  </si>
  <si>
    <t xml:space="preserve">Pasta italiana (vari formati)</t>
  </si>
  <si>
    <t xml:space="preserve">1.5 kg</t>
  </si>
  <si>
    <t xml:space="preserve">Farro</t>
  </si>
  <si>
    <t xml:space="preserve">500 g</t>
  </si>
  <si>
    <t xml:space="preserve">Avena</t>
  </si>
  <si>
    <t xml:space="preserve">Farina 00</t>
  </si>
  <si>
    <t xml:space="preserve">1 kg</t>
  </si>
  <si>
    <t xml:space="preserve">Semola rimacinata</t>
  </si>
  <si>
    <t xml:space="preserve">Tortillas di mais (starter)</t>
  </si>
  <si>
    <t xml:space="preserve">Tortillas di farina</t>
  </si>
  <si>
    <t xml:space="preserve">2 pacchi</t>
  </si>
  <si>
    <t xml:space="preserve">Totopos/tortilla chips</t>
  </si>
  <si>
    <t xml:space="preserve">2 buste</t>
  </si>
  <si>
    <t xml:space="preserve">Pangrattato</t>
  </si>
  <si>
    <t xml:space="preserve">250 g</t>
  </si>
  <si>
    <t xml:space="preserve">Legumi secchi</t>
  </si>
  <si>
    <t xml:space="preserve">Fagioli neri</t>
  </si>
  <si>
    <t xml:space="preserve">Fagioli pinti/bayos</t>
  </si>
  <si>
    <t xml:space="preserve">Ceci secchi</t>
  </si>
  <si>
    <t xml:space="preserve">Lenticchie</t>
  </si>
  <si>
    <t xml:space="preserve">Piselli surgelati</t>
  </si>
  <si>
    <t xml:space="preserve">Conserve</t>
  </si>
  <si>
    <t xml:space="preserve">Passata di pomodoro</t>
  </si>
  <si>
    <t xml:space="preserve">3 bottiglie</t>
  </si>
  <si>
    <t xml:space="preserve">Polpa di pomodoro</t>
  </si>
  <si>
    <t xml:space="preserve">Olive verdi denocciolate</t>
  </si>
  <si>
    <t xml:space="preserve">400 g</t>
  </si>
  <si>
    <t xml:space="preserve">Olive nere</t>
  </si>
  <si>
    <t xml:space="preserve">200 g</t>
  </si>
  <si>
    <t xml:space="preserve">Capperi sotto sale</t>
  </si>
  <si>
    <t xml:space="preserve">1 vasetto</t>
  </si>
  <si>
    <t xml:space="preserve">Condimenti</t>
  </si>
  <si>
    <t xml:space="preserve">Olio EVO</t>
  </si>
  <si>
    <t xml:space="preserve">1 L</t>
  </si>
  <si>
    <t xml:space="preserve">Olio di semi</t>
  </si>
  <si>
    <t xml:space="preserve">Aceto</t>
  </si>
  <si>
    <t xml:space="preserve">1</t>
  </si>
  <si>
    <t xml:space="preserve">Sale, pepe, spezie (cumino, paprika, epazote, origano)</t>
  </si>
  <si>
    <t xml:space="preserve">assortiti</t>
  </si>
  <si>
    <t xml:space="preserve">Lievito per torta salata</t>
  </si>
  <si>
    <t xml:space="preserve">Secchi vari</t>
  </si>
  <si>
    <t xml:space="preserve">Pinoli (per pesto)</t>
  </si>
  <si>
    <t xml:space="preserve">50 g</t>
  </si>
  <si>
    <t xml:space="preserve">Noci</t>
  </si>
  <si>
    <t xml:space="preserve">Uvetta</t>
  </si>
  <si>
    <t xml:space="preserve">Miele</t>
  </si>
  <si>
    <t xml:space="preserve">Marmellata</t>
  </si>
  <si>
    <t xml:space="preserve">Granola</t>
  </si>
  <si>
    <t xml:space="preserve">TOTALE</t>
  </si>
  <si>
    <t xml:space="preserve">SPESA SETTIMANA 1 — Freschi</t>
  </si>
  <si>
    <t xml:space="preserve">Carne/pesce</t>
  </si>
  <si>
    <t xml:space="preserve">Pollo intero (~1.5 kg × 120 MXN/kg)</t>
  </si>
  <si>
    <t xml:space="preserve">Pesce bianco (huachinango/mojarra)</t>
  </si>
  <si>
    <t xml:space="preserve">Uova/latticini</t>
  </si>
  <si>
    <t xml:space="preserve">Uova</t>
  </si>
  <si>
    <t xml:space="preserve">1 dozzina</t>
  </si>
  <si>
    <t xml:space="preserve">Parmigiano reggiano</t>
  </si>
  <si>
    <t xml:space="preserve">150 g</t>
  </si>
  <si>
    <t xml:space="preserve">Queso oaxaca</t>
  </si>
  <si>
    <t xml:space="preserve">Yogurt naturale</t>
  </si>
  <si>
    <t xml:space="preserve">Latte</t>
  </si>
  <si>
    <t xml:space="preserve">Verdura</t>
  </si>
  <si>
    <t xml:space="preserve">Carote</t>
  </si>
  <si>
    <t xml:space="preserve">Zucchine</t>
  </si>
  <si>
    <t xml:space="preserve">Broccoli</t>
  </si>
  <si>
    <t xml:space="preserve">Spinaci</t>
  </si>
  <si>
    <t xml:space="preserve">2 mazzi</t>
  </si>
  <si>
    <t xml:space="preserve">Bieta (acelga)</t>
  </si>
  <si>
    <t xml:space="preserve">1 mazzo</t>
  </si>
  <si>
    <t xml:space="preserve">Melanzane</t>
  </si>
  <si>
    <t xml:space="preserve">2 medie</t>
  </si>
  <si>
    <t xml:space="preserve">Jitomate (pomodoro)</t>
  </si>
  <si>
    <t xml:space="preserve">Tomate verde (tomatillo)</t>
  </si>
  <si>
    <t xml:space="preserve">Cipolla</t>
  </si>
  <si>
    <t xml:space="preserve">Aglio</t>
  </si>
  <si>
    <t xml:space="preserve">1 testa</t>
  </si>
  <si>
    <t xml:space="preserve">Pepino</t>
  </si>
  <si>
    <t xml:space="preserve">3</t>
  </si>
  <si>
    <t xml:space="preserve">Avocado</t>
  </si>
  <si>
    <t xml:space="preserve">5</t>
  </si>
  <si>
    <t xml:space="preserve">Lattuga</t>
  </si>
  <si>
    <t xml:space="preserve">2 cespi</t>
  </si>
  <si>
    <t xml:space="preserve">Mais fresco o surgelato</t>
  </si>
  <si>
    <t xml:space="preserve">Patate</t>
  </si>
  <si>
    <t xml:space="preserve">2 kg</t>
  </si>
  <si>
    <t xml:space="preserve">Limoni</t>
  </si>
  <si>
    <t xml:space="preserve">Erbe (coriandolo, prezzemolo, rosmarino, epazote, basilico)</t>
  </si>
  <si>
    <t xml:space="preserve">mazzetti</t>
  </si>
  <si>
    <t xml:space="preserve">Frutta</t>
  </si>
  <si>
    <t xml:space="preserve">Banana</t>
  </si>
  <si>
    <t xml:space="preserve">Mela</t>
  </si>
  <si>
    <t xml:space="preserve">Pera</t>
  </si>
  <si>
    <t xml:space="preserve">Frutta di stagione (fragole/papaya)</t>
  </si>
  <si>
    <t xml:space="preserve">assortita</t>
  </si>
  <si>
    <t xml:space="preserve">Tortillas fresche</t>
  </si>
  <si>
    <t xml:space="preserve">Mais</t>
  </si>
  <si>
    <t xml:space="preserve">Pane</t>
  </si>
  <si>
    <t xml:space="preserve">Integrale/focaccia</t>
  </si>
  <si>
    <t xml:space="preserve">assortito</t>
  </si>
  <si>
    <t xml:space="preserve">SPESA SETTIMANA 2 — Freschi</t>
  </si>
  <si>
    <t xml:space="preserve">Pollo intero</t>
  </si>
  <si>
    <t xml:space="preserve">Pesce bianco</t>
  </si>
  <si>
    <t xml:space="preserve">1.5 dozzine</t>
  </si>
  <si>
    <t xml:space="preserve">100 g</t>
  </si>
  <si>
    <t xml:space="preserve">Queso panela</t>
  </si>
  <si>
    <t xml:space="preserve">Yogurt</t>
  </si>
  <si>
    <t xml:space="preserve">3 mazzi</t>
  </si>
  <si>
    <t xml:space="preserve">4</t>
  </si>
  <si>
    <t xml:space="preserve">Piselli freschi (o surgelati)</t>
  </si>
  <si>
    <t xml:space="preserve">Menta fresca</t>
  </si>
  <si>
    <t xml:space="preserve">Erbe (rosmarino, prezzemolo, coriandolo, epazote)</t>
  </si>
  <si>
    <t xml:space="preserve">Mela (per mela cotta)</t>
  </si>
  <si>
    <t xml:space="preserve">Frutta assortita</t>
  </si>
  <si>
    <t xml:space="preserve">SPESA SETTIMANA 3 — Freschi</t>
  </si>
  <si>
    <t xml:space="preserve">Pollo (petto o intero)</t>
  </si>
  <si>
    <t xml:space="preserve">2 dozzine</t>
  </si>
  <si>
    <t xml:space="preserve">Queso panela (torta salata)</t>
  </si>
  <si>
    <t xml:space="preserve">300 g</t>
  </si>
  <si>
    <t xml:space="preserve">Tomatillo</t>
  </si>
  <si>
    <t xml:space="preserve">Piselli (freschi o surgelati)</t>
  </si>
  <si>
    <t xml:space="preserve">Erbe (rosmarino, prezzemolo, coriandolo, epazote, timo)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</si>
</sst>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MXN  &quot;#,##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  <c r="C3" s="5" t="n">
        <f aca="false">Dispensa!D35</f>
        <v>2105</v>
      </c>
    </row>
    <row r="4" customFormat="false" ht="15" hidden="false" customHeight="false" outlineLevel="0" collapsed="false">
      <c r="A4" s="3" t="s">
        <v>6</v>
      </c>
      <c r="B4" s="4" t="s">
        <v>7</v>
      </c>
      <c r="C4" s="5" t="n">
        <f aca="false">'Spesa S1'!D34</f>
        <v>1515</v>
      </c>
    </row>
    <row r="5" customFormat="false" ht="15" hidden="false" customHeight="false" outlineLevel="0" collapsed="false">
      <c r="A5" s="3" t="s">
        <v>8</v>
      </c>
      <c r="B5" s="4" t="s">
        <v>9</v>
      </c>
      <c r="C5" s="5" t="n">
        <f aca="false">'Spesa S2'!D30</f>
        <v>1405</v>
      </c>
    </row>
    <row r="6" customFormat="false" ht="15" hidden="false" customHeight="false" outlineLevel="0" collapsed="false">
      <c r="A6" s="3" t="s">
        <v>10</v>
      </c>
      <c r="B6" s="4" t="s">
        <v>11</v>
      </c>
      <c r="C6" s="5" t="n">
        <f aca="false">'Spesa S3'!D31</f>
        <v>1510</v>
      </c>
    </row>
    <row r="8" customFormat="false" ht="15" hidden="false" customHeight="false" outlineLevel="0" collapsed="false">
      <c r="A8" s="6" t="s">
        <v>12</v>
      </c>
      <c r="B8" s="6"/>
      <c r="C8" s="7" t="n">
        <f aca="false">SUM(C3:C7)</f>
        <v>6535</v>
      </c>
    </row>
    <row r="9" customFormat="false" ht="15" hidden="false" customHeight="false" outlineLevel="0" collapsed="false">
      <c r="A9" s="8" t="s">
        <v>13</v>
      </c>
      <c r="B9" s="8"/>
      <c r="C9" s="9" t="n">
        <f aca="false">(C4+C5+C6)/3</f>
        <v>1476.66666666667</v>
      </c>
    </row>
    <row r="12" customFormat="false" ht="15" hidden="false" customHeight="false" outlineLevel="0" collapsed="false">
      <c r="A12" s="10" t="s">
        <v>14</v>
      </c>
      <c r="B12" s="10"/>
      <c r="C12" s="10"/>
    </row>
    <row r="13" customFormat="false" ht="15" hidden="false" customHeight="true" outlineLevel="0" collapsed="false">
      <c r="A13" s="11" t="s">
        <v>15</v>
      </c>
      <c r="B13" s="11"/>
      <c r="C13" s="11"/>
    </row>
    <row r="14" customFormat="false" ht="15" hidden="false" customHeight="true" outlineLevel="0" collapsed="false">
      <c r="A14" s="11" t="s">
        <v>16</v>
      </c>
      <c r="B14" s="11"/>
      <c r="C14" s="11"/>
    </row>
    <row r="15" customFormat="false" ht="15" hidden="false" customHeight="true" outlineLevel="0" collapsed="false">
      <c r="A15" s="11" t="s">
        <v>17</v>
      </c>
      <c r="B15" s="11"/>
      <c r="C15" s="11"/>
    </row>
    <row r="16" customFormat="false" ht="15" hidden="false" customHeight="true" outlineLevel="0" collapsed="false">
      <c r="A16" s="11" t="s">
        <v>18</v>
      </c>
      <c r="B16" s="11"/>
      <c r="C16" s="11"/>
    </row>
    <row r="17" customFormat="false" ht="23.85" hidden="false" customHeight="true" outlineLevel="0" collapsed="false">
      <c r="A17" s="11" t="s">
        <v>19</v>
      </c>
      <c r="B17" s="11"/>
      <c r="C17" s="11"/>
    </row>
    <row r="18" customFormat="false" ht="23.85" hidden="false" customHeight="true" outlineLevel="0" collapsed="false">
      <c r="A18" s="11" t="s">
        <v>20</v>
      </c>
      <c r="B18" s="11"/>
      <c r="C18" s="11"/>
    </row>
  </sheetData>
  <mergeCells count="10">
    <mergeCell ref="A1:C1"/>
    <mergeCell ref="A8:B8"/>
    <mergeCell ref="A9:B9"/>
    <mergeCell ref="A12:C12"/>
    <mergeCell ref="A13:C13"/>
    <mergeCell ref="A14:C14"/>
    <mergeCell ref="A15:C15"/>
    <mergeCell ref="A16:C16"/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48"/>
  </cols>
  <sheetData>
    <row r="1" customFormat="false" ht="24" hidden="false" customHeight="true" outlineLevel="0" collapsed="false">
      <c r="A1" s="1" t="s">
        <v>21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</row>
    <row r="3" customFormat="false" ht="90" hidden="false" customHeight="true" outlineLevel="0" collapsed="false">
      <c r="A3" s="12" t="s">
        <v>27</v>
      </c>
      <c r="B3" s="13" t="s">
        <v>28</v>
      </c>
      <c r="C3" s="14" t="s">
        <v>29</v>
      </c>
      <c r="D3" s="14" t="s">
        <v>30</v>
      </c>
      <c r="E3" s="14" t="s">
        <v>31</v>
      </c>
    </row>
    <row r="4" customFormat="false" ht="90" hidden="false" customHeight="true" outlineLevel="0" collapsed="false">
      <c r="A4" s="12" t="s">
        <v>32</v>
      </c>
      <c r="B4" s="13" t="s">
        <v>33</v>
      </c>
      <c r="C4" s="14" t="s">
        <v>34</v>
      </c>
      <c r="D4" s="14" t="s">
        <v>35</v>
      </c>
      <c r="E4" s="14" t="s">
        <v>36</v>
      </c>
    </row>
    <row r="5" customFormat="false" ht="90" hidden="false" customHeight="true" outlineLevel="0" collapsed="false">
      <c r="A5" s="12" t="s">
        <v>37</v>
      </c>
      <c r="B5" s="13" t="s">
        <v>38</v>
      </c>
      <c r="C5" s="14" t="s">
        <v>39</v>
      </c>
      <c r="D5" s="14" t="s">
        <v>40</v>
      </c>
      <c r="E5" s="14" t="s">
        <v>41</v>
      </c>
    </row>
    <row r="6" customFormat="false" ht="90" hidden="false" customHeight="true" outlineLevel="0" collapsed="false">
      <c r="A6" s="12" t="s">
        <v>42</v>
      </c>
      <c r="B6" s="13" t="s">
        <v>38</v>
      </c>
      <c r="C6" s="14" t="s">
        <v>43</v>
      </c>
      <c r="D6" s="14" t="s">
        <v>44</v>
      </c>
      <c r="E6" s="14" t="s">
        <v>45</v>
      </c>
    </row>
    <row r="7" customFormat="false" ht="90" hidden="false" customHeight="true" outlineLevel="0" collapsed="false">
      <c r="A7" s="12" t="s">
        <v>46</v>
      </c>
      <c r="B7" s="13" t="s">
        <v>47</v>
      </c>
      <c r="C7" s="14" t="s">
        <v>39</v>
      </c>
      <c r="D7" s="14" t="s">
        <v>48</v>
      </c>
      <c r="E7" s="14" t="s">
        <v>49</v>
      </c>
    </row>
    <row r="9" customFormat="false" ht="15" hidden="false" customHeight="false" outlineLevel="0" collapsed="false">
      <c r="A9" s="15" t="s">
        <v>50</v>
      </c>
    </row>
    <row r="10" customFormat="false" ht="15" hidden="false" customHeight="false" outlineLevel="0" collapsed="false">
      <c r="A10" s="16" t="s">
        <v>51</v>
      </c>
      <c r="B10" s="16"/>
      <c r="C10" s="16"/>
      <c r="D10" s="16"/>
      <c r="E10" s="16"/>
    </row>
    <row r="11" customFormat="false" ht="15" hidden="false" customHeight="false" outlineLevel="0" collapsed="false">
      <c r="A11" s="16" t="s">
        <v>52</v>
      </c>
      <c r="B11" s="16"/>
      <c r="C11" s="16"/>
      <c r="D11" s="16"/>
      <c r="E11" s="16"/>
    </row>
  </sheetData>
  <mergeCells count="3">
    <mergeCell ref="A1:E1"/>
    <mergeCell ref="A10:E10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48"/>
  </cols>
  <sheetData>
    <row r="1" customFormat="false" ht="24" hidden="false" customHeight="true" outlineLevel="0" collapsed="false">
      <c r="A1" s="1" t="s">
        <v>53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</row>
    <row r="3" customFormat="false" ht="90" hidden="false" customHeight="true" outlineLevel="0" collapsed="false">
      <c r="A3" s="12" t="s">
        <v>27</v>
      </c>
      <c r="B3" s="13" t="s">
        <v>28</v>
      </c>
      <c r="C3" s="14" t="s">
        <v>54</v>
      </c>
      <c r="D3" s="14" t="s">
        <v>55</v>
      </c>
      <c r="E3" s="14" t="s">
        <v>56</v>
      </c>
    </row>
    <row r="4" customFormat="false" ht="90" hidden="false" customHeight="true" outlineLevel="0" collapsed="false">
      <c r="A4" s="12" t="s">
        <v>32</v>
      </c>
      <c r="B4" s="13" t="s">
        <v>33</v>
      </c>
      <c r="C4" s="14" t="s">
        <v>57</v>
      </c>
      <c r="D4" s="14" t="s">
        <v>58</v>
      </c>
      <c r="E4" s="14" t="s">
        <v>59</v>
      </c>
    </row>
    <row r="5" customFormat="false" ht="90" hidden="false" customHeight="true" outlineLevel="0" collapsed="false">
      <c r="A5" s="12" t="s">
        <v>37</v>
      </c>
      <c r="B5" s="13" t="s">
        <v>38</v>
      </c>
      <c r="C5" s="14" t="s">
        <v>60</v>
      </c>
      <c r="D5" s="14" t="s">
        <v>61</v>
      </c>
      <c r="E5" s="14" t="s">
        <v>62</v>
      </c>
    </row>
    <row r="6" customFormat="false" ht="90" hidden="false" customHeight="true" outlineLevel="0" collapsed="false">
      <c r="A6" s="12" t="s">
        <v>42</v>
      </c>
      <c r="B6" s="13" t="s">
        <v>38</v>
      </c>
      <c r="C6" s="14" t="s">
        <v>63</v>
      </c>
      <c r="D6" s="14" t="s">
        <v>64</v>
      </c>
      <c r="E6" s="14" t="s">
        <v>65</v>
      </c>
    </row>
    <row r="7" customFormat="false" ht="90" hidden="false" customHeight="true" outlineLevel="0" collapsed="false">
      <c r="A7" s="12" t="s">
        <v>46</v>
      </c>
      <c r="B7" s="13" t="s">
        <v>47</v>
      </c>
      <c r="C7" s="14" t="s">
        <v>66</v>
      </c>
      <c r="D7" s="14" t="s">
        <v>67</v>
      </c>
      <c r="E7" s="14" t="s">
        <v>68</v>
      </c>
    </row>
    <row r="9" customFormat="false" ht="15" hidden="false" customHeight="false" outlineLevel="0" collapsed="false">
      <c r="A9" s="15" t="s">
        <v>50</v>
      </c>
    </row>
    <row r="10" customFormat="false" ht="15" hidden="false" customHeight="false" outlineLevel="0" collapsed="false">
      <c r="A10" s="16" t="s">
        <v>51</v>
      </c>
      <c r="B10" s="16"/>
      <c r="C10" s="16"/>
      <c r="D10" s="16"/>
      <c r="E10" s="16"/>
    </row>
    <row r="11" customFormat="false" ht="15" hidden="false" customHeight="false" outlineLevel="0" collapsed="false">
      <c r="A11" s="16" t="s">
        <v>52</v>
      </c>
      <c r="B11" s="16"/>
      <c r="C11" s="16"/>
      <c r="D11" s="16"/>
      <c r="E11" s="16"/>
    </row>
  </sheetData>
  <mergeCells count="3">
    <mergeCell ref="A1:E1"/>
    <mergeCell ref="A10:E10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48"/>
  </cols>
  <sheetData>
    <row r="1" customFormat="false" ht="24" hidden="false" customHeight="true" outlineLevel="0" collapsed="false">
      <c r="A1" s="1" t="s">
        <v>69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</row>
    <row r="3" customFormat="false" ht="90" hidden="false" customHeight="true" outlineLevel="0" collapsed="false">
      <c r="A3" s="12" t="s">
        <v>27</v>
      </c>
      <c r="B3" s="13" t="s">
        <v>28</v>
      </c>
      <c r="C3" s="14" t="s">
        <v>39</v>
      </c>
      <c r="D3" s="14" t="s">
        <v>70</v>
      </c>
      <c r="E3" s="14" t="s">
        <v>71</v>
      </c>
    </row>
    <row r="4" customFormat="false" ht="90" hidden="false" customHeight="true" outlineLevel="0" collapsed="false">
      <c r="A4" s="12" t="s">
        <v>32</v>
      </c>
      <c r="B4" s="13" t="s">
        <v>33</v>
      </c>
      <c r="C4" s="14" t="s">
        <v>72</v>
      </c>
      <c r="D4" s="14" t="s">
        <v>73</v>
      </c>
      <c r="E4" s="14" t="s">
        <v>74</v>
      </c>
    </row>
    <row r="5" customFormat="false" ht="90" hidden="false" customHeight="true" outlineLevel="0" collapsed="false">
      <c r="A5" s="12" t="s">
        <v>37</v>
      </c>
      <c r="B5" s="13" t="s">
        <v>38</v>
      </c>
      <c r="C5" s="14" t="s">
        <v>39</v>
      </c>
      <c r="D5" s="14" t="s">
        <v>75</v>
      </c>
      <c r="E5" s="14" t="s">
        <v>76</v>
      </c>
    </row>
    <row r="6" customFormat="false" ht="90" hidden="false" customHeight="true" outlineLevel="0" collapsed="false">
      <c r="A6" s="12" t="s">
        <v>42</v>
      </c>
      <c r="B6" s="13" t="s">
        <v>38</v>
      </c>
      <c r="C6" s="14" t="s">
        <v>77</v>
      </c>
      <c r="D6" s="14" t="s">
        <v>78</v>
      </c>
      <c r="E6" s="14" t="s">
        <v>79</v>
      </c>
    </row>
    <row r="7" customFormat="false" ht="90" hidden="false" customHeight="true" outlineLevel="0" collapsed="false">
      <c r="A7" s="12" t="s">
        <v>46</v>
      </c>
      <c r="B7" s="13" t="s">
        <v>47</v>
      </c>
      <c r="C7" s="14" t="s">
        <v>39</v>
      </c>
      <c r="D7" s="14" t="s">
        <v>80</v>
      </c>
      <c r="E7" s="14" t="s">
        <v>81</v>
      </c>
    </row>
    <row r="9" customFormat="false" ht="15" hidden="false" customHeight="false" outlineLevel="0" collapsed="false">
      <c r="A9" s="15" t="s">
        <v>50</v>
      </c>
    </row>
    <row r="10" customFormat="false" ht="15" hidden="false" customHeight="false" outlineLevel="0" collapsed="false">
      <c r="A10" s="16" t="s">
        <v>51</v>
      </c>
      <c r="B10" s="16"/>
      <c r="C10" s="16"/>
      <c r="D10" s="16"/>
      <c r="E10" s="16"/>
    </row>
    <row r="11" customFormat="false" ht="15" hidden="false" customHeight="false" outlineLevel="0" collapsed="false">
      <c r="A11" s="16" t="s">
        <v>52</v>
      </c>
      <c r="B11" s="16"/>
      <c r="C11" s="16"/>
      <c r="D11" s="16"/>
      <c r="E11" s="16"/>
    </row>
  </sheetData>
  <mergeCells count="3">
    <mergeCell ref="A1:E1"/>
    <mergeCell ref="A10:E10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24" hidden="false" customHeight="true" outlineLevel="0" collapsed="false">
      <c r="A1" s="1" t="s">
        <v>82</v>
      </c>
      <c r="B1" s="1"/>
      <c r="C1" s="1"/>
      <c r="D1" s="1"/>
    </row>
    <row r="2" customFormat="false" ht="21.75" hidden="false" customHeight="true" outlineLevel="0" collapsed="false">
      <c r="A2" s="2" t="s">
        <v>83</v>
      </c>
      <c r="B2" s="2" t="s">
        <v>84</v>
      </c>
      <c r="C2" s="2" t="s">
        <v>85</v>
      </c>
      <c r="D2" s="2" t="s">
        <v>3</v>
      </c>
    </row>
    <row r="3" customFormat="false" ht="15" hidden="false" customHeight="false" outlineLevel="0" collapsed="false">
      <c r="A3" s="17" t="s">
        <v>86</v>
      </c>
      <c r="B3" s="14" t="s">
        <v>87</v>
      </c>
      <c r="C3" s="14" t="s">
        <v>88</v>
      </c>
      <c r="D3" s="18" t="n">
        <v>75</v>
      </c>
    </row>
    <row r="4" customFormat="false" ht="15" hidden="false" customHeight="false" outlineLevel="0" collapsed="false">
      <c r="A4" s="17"/>
      <c r="B4" s="14" t="s">
        <v>89</v>
      </c>
      <c r="C4" s="14" t="s">
        <v>90</v>
      </c>
      <c r="D4" s="18" t="n">
        <v>150</v>
      </c>
    </row>
    <row r="5" customFormat="false" ht="15" hidden="false" customHeight="false" outlineLevel="0" collapsed="false">
      <c r="A5" s="17"/>
      <c r="B5" s="14" t="s">
        <v>91</v>
      </c>
      <c r="C5" s="14" t="s">
        <v>92</v>
      </c>
      <c r="D5" s="18" t="n">
        <v>50</v>
      </c>
    </row>
    <row r="6" customFormat="false" ht="15" hidden="false" customHeight="false" outlineLevel="0" collapsed="false">
      <c r="A6" s="17"/>
      <c r="B6" s="14" t="s">
        <v>93</v>
      </c>
      <c r="C6" s="14" t="s">
        <v>92</v>
      </c>
      <c r="D6" s="18" t="n">
        <v>30</v>
      </c>
    </row>
    <row r="7" customFormat="false" ht="15" hidden="false" customHeight="false" outlineLevel="0" collapsed="false">
      <c r="A7" s="17"/>
      <c r="B7" s="14" t="s">
        <v>94</v>
      </c>
      <c r="C7" s="14" t="s">
        <v>95</v>
      </c>
      <c r="D7" s="18" t="n">
        <v>25</v>
      </c>
    </row>
    <row r="8" customFormat="false" ht="15" hidden="false" customHeight="false" outlineLevel="0" collapsed="false">
      <c r="A8" s="17"/>
      <c r="B8" s="14" t="s">
        <v>96</v>
      </c>
      <c r="C8" s="14" t="s">
        <v>92</v>
      </c>
      <c r="D8" s="18" t="n">
        <v>30</v>
      </c>
    </row>
    <row r="9" customFormat="false" ht="15" hidden="false" customHeight="false" outlineLevel="0" collapsed="false">
      <c r="A9" s="17"/>
      <c r="B9" s="14" t="s">
        <v>97</v>
      </c>
      <c r="C9" s="14" t="s">
        <v>95</v>
      </c>
      <c r="D9" s="18" t="n">
        <v>25</v>
      </c>
    </row>
    <row r="10" customFormat="false" ht="15" hidden="false" customHeight="false" outlineLevel="0" collapsed="false">
      <c r="A10" s="17"/>
      <c r="B10" s="14" t="s">
        <v>98</v>
      </c>
      <c r="C10" s="14" t="s">
        <v>99</v>
      </c>
      <c r="D10" s="18" t="n">
        <v>60</v>
      </c>
    </row>
    <row r="11" customFormat="false" ht="15" hidden="false" customHeight="false" outlineLevel="0" collapsed="false">
      <c r="A11" s="17"/>
      <c r="B11" s="14" t="s">
        <v>100</v>
      </c>
      <c r="C11" s="14" t="s">
        <v>101</v>
      </c>
      <c r="D11" s="18" t="n">
        <v>60</v>
      </c>
    </row>
    <row r="12" customFormat="false" ht="15" hidden="false" customHeight="false" outlineLevel="0" collapsed="false">
      <c r="A12" s="17"/>
      <c r="B12" s="14" t="s">
        <v>102</v>
      </c>
      <c r="C12" s="14" t="s">
        <v>103</v>
      </c>
      <c r="D12" s="18" t="n">
        <v>20</v>
      </c>
    </row>
    <row r="13" customFormat="false" ht="15" hidden="false" customHeight="false" outlineLevel="0" collapsed="false">
      <c r="A13" s="17" t="s">
        <v>104</v>
      </c>
      <c r="B13" s="14" t="s">
        <v>105</v>
      </c>
      <c r="C13" s="14" t="s">
        <v>95</v>
      </c>
      <c r="D13" s="18" t="n">
        <v>40</v>
      </c>
    </row>
    <row r="14" customFormat="false" ht="15" hidden="false" customHeight="false" outlineLevel="0" collapsed="false">
      <c r="A14" s="17"/>
      <c r="B14" s="14" t="s">
        <v>106</v>
      </c>
      <c r="C14" s="14" t="s">
        <v>95</v>
      </c>
      <c r="D14" s="18" t="n">
        <v>35</v>
      </c>
    </row>
    <row r="15" customFormat="false" ht="15" hidden="false" customHeight="false" outlineLevel="0" collapsed="false">
      <c r="A15" s="17"/>
      <c r="B15" s="14" t="s">
        <v>107</v>
      </c>
      <c r="C15" s="14" t="s">
        <v>92</v>
      </c>
      <c r="D15" s="18" t="n">
        <v>30</v>
      </c>
    </row>
    <row r="16" customFormat="false" ht="15" hidden="false" customHeight="false" outlineLevel="0" collapsed="false">
      <c r="A16" s="17"/>
      <c r="B16" s="14" t="s">
        <v>108</v>
      </c>
      <c r="C16" s="14" t="s">
        <v>95</v>
      </c>
      <c r="D16" s="18" t="n">
        <v>45</v>
      </c>
    </row>
    <row r="17" customFormat="false" ht="15" hidden="false" customHeight="false" outlineLevel="0" collapsed="false">
      <c r="A17" s="17"/>
      <c r="B17" s="14" t="s">
        <v>109</v>
      </c>
      <c r="C17" s="14" t="s">
        <v>95</v>
      </c>
      <c r="D17" s="18" t="n">
        <v>40</v>
      </c>
    </row>
    <row r="18" customFormat="false" ht="15" hidden="false" customHeight="false" outlineLevel="0" collapsed="false">
      <c r="A18" s="17" t="s">
        <v>110</v>
      </c>
      <c r="B18" s="14" t="s">
        <v>111</v>
      </c>
      <c r="C18" s="14" t="s">
        <v>112</v>
      </c>
      <c r="D18" s="18" t="n">
        <v>150</v>
      </c>
    </row>
    <row r="19" customFormat="false" ht="15" hidden="false" customHeight="false" outlineLevel="0" collapsed="false">
      <c r="A19" s="17"/>
      <c r="B19" s="14" t="s">
        <v>113</v>
      </c>
      <c r="C19" s="14" t="s">
        <v>92</v>
      </c>
      <c r="D19" s="18" t="n">
        <v>25</v>
      </c>
    </row>
    <row r="20" customFormat="false" ht="15" hidden="false" customHeight="false" outlineLevel="0" collapsed="false">
      <c r="A20" s="17"/>
      <c r="B20" s="14" t="s">
        <v>114</v>
      </c>
      <c r="C20" s="14" t="s">
        <v>115</v>
      </c>
      <c r="D20" s="18" t="n">
        <v>100</v>
      </c>
    </row>
    <row r="21" customFormat="false" ht="15" hidden="false" customHeight="false" outlineLevel="0" collapsed="false">
      <c r="A21" s="17"/>
      <c r="B21" s="14" t="s">
        <v>116</v>
      </c>
      <c r="C21" s="14" t="s">
        <v>117</v>
      </c>
      <c r="D21" s="18" t="n">
        <v>60</v>
      </c>
    </row>
    <row r="22" customFormat="false" ht="15" hidden="false" customHeight="false" outlineLevel="0" collapsed="false">
      <c r="A22" s="17"/>
      <c r="B22" s="14" t="s">
        <v>118</v>
      </c>
      <c r="C22" s="14" t="s">
        <v>119</v>
      </c>
      <c r="D22" s="18" t="n">
        <v>70</v>
      </c>
    </row>
    <row r="23" customFormat="false" ht="15" hidden="false" customHeight="false" outlineLevel="0" collapsed="false">
      <c r="A23" s="17" t="s">
        <v>120</v>
      </c>
      <c r="B23" s="14" t="s">
        <v>121</v>
      </c>
      <c r="C23" s="14" t="s">
        <v>122</v>
      </c>
      <c r="D23" s="18" t="n">
        <v>250</v>
      </c>
    </row>
    <row r="24" customFormat="false" ht="15" hidden="false" customHeight="false" outlineLevel="0" collapsed="false">
      <c r="A24" s="17"/>
      <c r="B24" s="14" t="s">
        <v>123</v>
      </c>
      <c r="C24" s="14" t="s">
        <v>122</v>
      </c>
      <c r="D24" s="18" t="n">
        <v>60</v>
      </c>
    </row>
    <row r="25" customFormat="false" ht="15" hidden="false" customHeight="false" outlineLevel="0" collapsed="false">
      <c r="A25" s="17"/>
      <c r="B25" s="14" t="s">
        <v>124</v>
      </c>
      <c r="C25" s="14" t="s">
        <v>125</v>
      </c>
      <c r="D25" s="18" t="n">
        <v>25</v>
      </c>
    </row>
    <row r="26" customFormat="false" ht="23.85" hidden="false" customHeight="false" outlineLevel="0" collapsed="false">
      <c r="A26" s="17"/>
      <c r="B26" s="14" t="s">
        <v>126</v>
      </c>
      <c r="C26" s="14" t="s">
        <v>127</v>
      </c>
      <c r="D26" s="18" t="n">
        <v>100</v>
      </c>
    </row>
    <row r="27" customFormat="false" ht="15" hidden="false" customHeight="false" outlineLevel="0" collapsed="false">
      <c r="A27" s="17"/>
      <c r="B27" s="14" t="s">
        <v>128</v>
      </c>
      <c r="C27" s="14" t="s">
        <v>125</v>
      </c>
      <c r="D27" s="18" t="n">
        <v>30</v>
      </c>
    </row>
    <row r="28" customFormat="false" ht="15" hidden="false" customHeight="false" outlineLevel="0" collapsed="false">
      <c r="A28" s="17" t="s">
        <v>129</v>
      </c>
      <c r="B28" s="14" t="s">
        <v>130</v>
      </c>
      <c r="C28" s="14" t="s">
        <v>131</v>
      </c>
      <c r="D28" s="18" t="n">
        <v>80</v>
      </c>
    </row>
    <row r="29" customFormat="false" ht="15" hidden="false" customHeight="false" outlineLevel="0" collapsed="false">
      <c r="A29" s="17"/>
      <c r="B29" s="14" t="s">
        <v>132</v>
      </c>
      <c r="C29" s="14" t="s">
        <v>117</v>
      </c>
      <c r="D29" s="18" t="n">
        <v>150</v>
      </c>
    </row>
    <row r="30" customFormat="false" ht="15" hidden="false" customHeight="false" outlineLevel="0" collapsed="false">
      <c r="A30" s="17"/>
      <c r="B30" s="14" t="s">
        <v>133</v>
      </c>
      <c r="C30" s="14" t="s">
        <v>117</v>
      </c>
      <c r="D30" s="18" t="n">
        <v>50</v>
      </c>
    </row>
    <row r="31" customFormat="false" ht="15" hidden="false" customHeight="false" outlineLevel="0" collapsed="false">
      <c r="A31" s="17"/>
      <c r="B31" s="14" t="s">
        <v>134</v>
      </c>
      <c r="C31" s="14" t="s">
        <v>125</v>
      </c>
      <c r="D31" s="18" t="n">
        <v>80</v>
      </c>
    </row>
    <row r="32" customFormat="false" ht="15" hidden="false" customHeight="false" outlineLevel="0" collapsed="false">
      <c r="A32" s="17"/>
      <c r="B32" s="14" t="s">
        <v>135</v>
      </c>
      <c r="C32" s="14" t="s">
        <v>125</v>
      </c>
      <c r="D32" s="18" t="n">
        <v>60</v>
      </c>
    </row>
    <row r="33" customFormat="false" ht="15" hidden="false" customHeight="false" outlineLevel="0" collapsed="false">
      <c r="A33" s="17"/>
      <c r="B33" s="14" t="s">
        <v>136</v>
      </c>
      <c r="C33" s="14" t="s">
        <v>92</v>
      </c>
      <c r="D33" s="18" t="n">
        <v>100</v>
      </c>
    </row>
    <row r="35" customFormat="false" ht="15" hidden="false" customHeight="false" outlineLevel="0" collapsed="false">
      <c r="A35" s="6" t="s">
        <v>137</v>
      </c>
      <c r="B35" s="6"/>
      <c r="C35" s="6"/>
      <c r="D35" s="7" t="n">
        <f aca="false">SUM(D3:D33)</f>
        <v>2105</v>
      </c>
    </row>
  </sheetData>
  <mergeCells count="2">
    <mergeCell ref="A1:D1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24" hidden="false" customHeight="true" outlineLevel="0" collapsed="false">
      <c r="A1" s="1" t="s">
        <v>138</v>
      </c>
      <c r="B1" s="1"/>
      <c r="C1" s="1"/>
      <c r="D1" s="1"/>
    </row>
    <row r="2" customFormat="false" ht="21.75" hidden="false" customHeight="true" outlineLevel="0" collapsed="false">
      <c r="A2" s="2" t="s">
        <v>83</v>
      </c>
      <c r="B2" s="2" t="s">
        <v>84</v>
      </c>
      <c r="C2" s="2" t="s">
        <v>85</v>
      </c>
      <c r="D2" s="2" t="s">
        <v>3</v>
      </c>
    </row>
    <row r="3" customFormat="false" ht="15" hidden="false" customHeight="false" outlineLevel="0" collapsed="false">
      <c r="A3" s="17" t="s">
        <v>139</v>
      </c>
      <c r="B3" s="14" t="s">
        <v>140</v>
      </c>
      <c r="C3" s="14" t="s">
        <v>90</v>
      </c>
      <c r="D3" s="18" t="n">
        <v>180</v>
      </c>
    </row>
    <row r="4" customFormat="false" ht="15" hidden="false" customHeight="false" outlineLevel="0" collapsed="false">
      <c r="A4" s="17"/>
      <c r="B4" s="14" t="s">
        <v>141</v>
      </c>
      <c r="C4" s="14" t="s">
        <v>95</v>
      </c>
      <c r="D4" s="18" t="n">
        <v>280</v>
      </c>
    </row>
    <row r="5" customFormat="false" ht="15" hidden="false" customHeight="false" outlineLevel="0" collapsed="false">
      <c r="A5" s="17" t="s">
        <v>142</v>
      </c>
      <c r="B5" s="14" t="s">
        <v>143</v>
      </c>
      <c r="C5" s="14" t="s">
        <v>144</v>
      </c>
      <c r="D5" s="18" t="n">
        <v>50</v>
      </c>
    </row>
    <row r="6" customFormat="false" ht="15" hidden="false" customHeight="false" outlineLevel="0" collapsed="false">
      <c r="A6" s="17"/>
      <c r="B6" s="14" t="s">
        <v>145</v>
      </c>
      <c r="C6" s="14" t="s">
        <v>146</v>
      </c>
      <c r="D6" s="18" t="n">
        <v>90</v>
      </c>
    </row>
    <row r="7" customFormat="false" ht="15" hidden="false" customHeight="false" outlineLevel="0" collapsed="false">
      <c r="A7" s="17"/>
      <c r="B7" s="14" t="s">
        <v>147</v>
      </c>
      <c r="C7" s="14" t="s">
        <v>117</v>
      </c>
      <c r="D7" s="18" t="n">
        <v>35</v>
      </c>
    </row>
    <row r="8" customFormat="false" ht="15" hidden="false" customHeight="false" outlineLevel="0" collapsed="false">
      <c r="A8" s="17"/>
      <c r="B8" s="14" t="s">
        <v>148</v>
      </c>
      <c r="C8" s="14" t="s">
        <v>92</v>
      </c>
      <c r="D8" s="18" t="n">
        <v>20</v>
      </c>
    </row>
    <row r="9" customFormat="false" ht="15" hidden="false" customHeight="false" outlineLevel="0" collapsed="false">
      <c r="A9" s="17"/>
      <c r="B9" s="14" t="s">
        <v>149</v>
      </c>
      <c r="C9" s="14" t="s">
        <v>122</v>
      </c>
      <c r="D9" s="18" t="n">
        <v>25</v>
      </c>
    </row>
    <row r="10" customFormat="false" ht="15" hidden="false" customHeight="false" outlineLevel="0" collapsed="false">
      <c r="A10" s="17" t="s">
        <v>150</v>
      </c>
      <c r="B10" s="14" t="s">
        <v>151</v>
      </c>
      <c r="C10" s="14" t="s">
        <v>90</v>
      </c>
      <c r="D10" s="18" t="n">
        <v>30</v>
      </c>
    </row>
    <row r="11" customFormat="false" ht="15" hidden="false" customHeight="false" outlineLevel="0" collapsed="false">
      <c r="A11" s="17"/>
      <c r="B11" s="14" t="s">
        <v>152</v>
      </c>
      <c r="C11" s="14" t="s">
        <v>90</v>
      </c>
      <c r="D11" s="18" t="n">
        <v>45</v>
      </c>
    </row>
    <row r="12" customFormat="false" ht="15" hidden="false" customHeight="false" outlineLevel="0" collapsed="false">
      <c r="A12" s="17"/>
      <c r="B12" s="14" t="s">
        <v>153</v>
      </c>
      <c r="C12" s="14" t="s">
        <v>95</v>
      </c>
      <c r="D12" s="18" t="n">
        <v>40</v>
      </c>
    </row>
    <row r="13" customFormat="false" ht="15" hidden="false" customHeight="false" outlineLevel="0" collapsed="false">
      <c r="A13" s="17"/>
      <c r="B13" s="14" t="s">
        <v>154</v>
      </c>
      <c r="C13" s="14" t="s">
        <v>155</v>
      </c>
      <c r="D13" s="18" t="n">
        <v>60</v>
      </c>
    </row>
    <row r="14" customFormat="false" ht="15" hidden="false" customHeight="false" outlineLevel="0" collapsed="false">
      <c r="A14" s="17"/>
      <c r="B14" s="14" t="s">
        <v>156</v>
      </c>
      <c r="C14" s="14" t="s">
        <v>157</v>
      </c>
      <c r="D14" s="18" t="n">
        <v>20</v>
      </c>
    </row>
    <row r="15" customFormat="false" ht="15" hidden="false" customHeight="false" outlineLevel="0" collapsed="false">
      <c r="A15" s="17"/>
      <c r="B15" s="14" t="s">
        <v>158</v>
      </c>
      <c r="C15" s="14" t="s">
        <v>159</v>
      </c>
      <c r="D15" s="18" t="n">
        <v>30</v>
      </c>
    </row>
    <row r="16" customFormat="false" ht="15" hidden="false" customHeight="false" outlineLevel="0" collapsed="false">
      <c r="A16" s="17"/>
      <c r="B16" s="14" t="s">
        <v>160</v>
      </c>
      <c r="C16" s="14" t="s">
        <v>88</v>
      </c>
      <c r="D16" s="18" t="n">
        <v>75</v>
      </c>
    </row>
    <row r="17" customFormat="false" ht="15" hidden="false" customHeight="false" outlineLevel="0" collapsed="false">
      <c r="A17" s="17"/>
      <c r="B17" s="14" t="s">
        <v>161</v>
      </c>
      <c r="C17" s="14" t="s">
        <v>92</v>
      </c>
      <c r="D17" s="18" t="n">
        <v>15</v>
      </c>
    </row>
    <row r="18" customFormat="false" ht="15" hidden="false" customHeight="false" outlineLevel="0" collapsed="false">
      <c r="A18" s="17"/>
      <c r="B18" s="14" t="s">
        <v>162</v>
      </c>
      <c r="C18" s="14" t="s">
        <v>90</v>
      </c>
      <c r="D18" s="18" t="n">
        <v>30</v>
      </c>
    </row>
    <row r="19" customFormat="false" ht="15" hidden="false" customHeight="false" outlineLevel="0" collapsed="false">
      <c r="A19" s="17"/>
      <c r="B19" s="14" t="s">
        <v>163</v>
      </c>
      <c r="C19" s="14" t="s">
        <v>164</v>
      </c>
      <c r="D19" s="18" t="n">
        <v>10</v>
      </c>
    </row>
    <row r="20" customFormat="false" ht="15" hidden="false" customHeight="false" outlineLevel="0" collapsed="false">
      <c r="A20" s="17"/>
      <c r="B20" s="14" t="s">
        <v>165</v>
      </c>
      <c r="C20" s="14" t="s">
        <v>166</v>
      </c>
      <c r="D20" s="18" t="n">
        <v>30</v>
      </c>
    </row>
    <row r="21" customFormat="false" ht="15" hidden="false" customHeight="false" outlineLevel="0" collapsed="false">
      <c r="A21" s="17"/>
      <c r="B21" s="14" t="s">
        <v>167</v>
      </c>
      <c r="C21" s="14" t="s">
        <v>168</v>
      </c>
      <c r="D21" s="18" t="n">
        <v>80</v>
      </c>
    </row>
    <row r="22" customFormat="false" ht="15" hidden="false" customHeight="false" outlineLevel="0" collapsed="false">
      <c r="A22" s="17"/>
      <c r="B22" s="14" t="s">
        <v>169</v>
      </c>
      <c r="C22" s="14" t="s">
        <v>170</v>
      </c>
      <c r="D22" s="18" t="n">
        <v>40</v>
      </c>
    </row>
    <row r="23" customFormat="false" ht="15" hidden="false" customHeight="false" outlineLevel="0" collapsed="false">
      <c r="A23" s="17"/>
      <c r="B23" s="14" t="s">
        <v>171</v>
      </c>
      <c r="C23" s="14" t="s">
        <v>92</v>
      </c>
      <c r="D23" s="18" t="n">
        <v>30</v>
      </c>
    </row>
    <row r="24" customFormat="false" ht="15" hidden="false" customHeight="false" outlineLevel="0" collapsed="false">
      <c r="A24" s="17"/>
      <c r="B24" s="14" t="s">
        <v>172</v>
      </c>
      <c r="C24" s="14" t="s">
        <v>173</v>
      </c>
      <c r="D24" s="18" t="n">
        <v>50</v>
      </c>
    </row>
    <row r="25" customFormat="false" ht="15" hidden="false" customHeight="false" outlineLevel="0" collapsed="false">
      <c r="A25" s="17"/>
      <c r="B25" s="14" t="s">
        <v>174</v>
      </c>
      <c r="C25" s="14" t="s">
        <v>95</v>
      </c>
      <c r="D25" s="18" t="n">
        <v>20</v>
      </c>
    </row>
    <row r="26" customFormat="false" ht="23.85" hidden="false" customHeight="false" outlineLevel="0" collapsed="false">
      <c r="A26" s="17"/>
      <c r="B26" s="14" t="s">
        <v>175</v>
      </c>
      <c r="C26" s="14" t="s">
        <v>176</v>
      </c>
      <c r="D26" s="18" t="n">
        <v>40</v>
      </c>
    </row>
    <row r="27" customFormat="false" ht="15" hidden="false" customHeight="false" outlineLevel="0" collapsed="false">
      <c r="A27" s="17" t="s">
        <v>177</v>
      </c>
      <c r="B27" s="14" t="s">
        <v>178</v>
      </c>
      <c r="C27" s="14" t="s">
        <v>95</v>
      </c>
      <c r="D27" s="18" t="n">
        <v>15</v>
      </c>
    </row>
    <row r="28" customFormat="false" ht="15" hidden="false" customHeight="false" outlineLevel="0" collapsed="false">
      <c r="A28" s="17"/>
      <c r="B28" s="14" t="s">
        <v>179</v>
      </c>
      <c r="C28" s="14" t="s">
        <v>92</v>
      </c>
      <c r="D28" s="18" t="n">
        <v>25</v>
      </c>
    </row>
    <row r="29" customFormat="false" ht="15" hidden="false" customHeight="false" outlineLevel="0" collapsed="false">
      <c r="A29" s="17"/>
      <c r="B29" s="14" t="s">
        <v>180</v>
      </c>
      <c r="C29" s="14" t="s">
        <v>92</v>
      </c>
      <c r="D29" s="18" t="n">
        <v>25</v>
      </c>
    </row>
    <row r="30" customFormat="false" ht="15" hidden="false" customHeight="false" outlineLevel="0" collapsed="false">
      <c r="A30" s="17"/>
      <c r="B30" s="14" t="s">
        <v>181</v>
      </c>
      <c r="C30" s="14" t="s">
        <v>182</v>
      </c>
      <c r="D30" s="18" t="n">
        <v>50</v>
      </c>
    </row>
    <row r="31" customFormat="false" ht="15" hidden="false" customHeight="false" outlineLevel="0" collapsed="false">
      <c r="A31" s="17" t="s">
        <v>183</v>
      </c>
      <c r="B31" s="14" t="s">
        <v>184</v>
      </c>
      <c r="C31" s="14" t="s">
        <v>95</v>
      </c>
      <c r="D31" s="18" t="n">
        <v>25</v>
      </c>
    </row>
    <row r="32" customFormat="false" ht="15" hidden="false" customHeight="false" outlineLevel="0" collapsed="false">
      <c r="A32" s="17" t="s">
        <v>185</v>
      </c>
      <c r="B32" s="14" t="s">
        <v>186</v>
      </c>
      <c r="C32" s="14" t="s">
        <v>187</v>
      </c>
      <c r="D32" s="18" t="n">
        <v>50</v>
      </c>
    </row>
    <row r="34" customFormat="false" ht="15" hidden="false" customHeight="false" outlineLevel="0" collapsed="false">
      <c r="A34" s="6" t="s">
        <v>137</v>
      </c>
      <c r="B34" s="6"/>
      <c r="C34" s="6"/>
      <c r="D34" s="7" t="n">
        <f aca="false">SUM(D3:D32)</f>
        <v>1515</v>
      </c>
    </row>
  </sheetData>
  <mergeCells count="2">
    <mergeCell ref="A1:D1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24" hidden="false" customHeight="true" outlineLevel="0" collapsed="false">
      <c r="A1" s="1" t="s">
        <v>188</v>
      </c>
      <c r="B1" s="1"/>
      <c r="C1" s="1"/>
      <c r="D1" s="1"/>
    </row>
    <row r="2" customFormat="false" ht="21.75" hidden="false" customHeight="true" outlineLevel="0" collapsed="false">
      <c r="A2" s="2" t="s">
        <v>83</v>
      </c>
      <c r="B2" s="2" t="s">
        <v>84</v>
      </c>
      <c r="C2" s="2" t="s">
        <v>85</v>
      </c>
      <c r="D2" s="2" t="s">
        <v>3</v>
      </c>
    </row>
    <row r="3" customFormat="false" ht="15" hidden="false" customHeight="false" outlineLevel="0" collapsed="false">
      <c r="A3" s="17" t="s">
        <v>139</v>
      </c>
      <c r="B3" s="14" t="s">
        <v>189</v>
      </c>
      <c r="C3" s="14" t="s">
        <v>90</v>
      </c>
      <c r="D3" s="18" t="n">
        <v>180</v>
      </c>
    </row>
    <row r="4" customFormat="false" ht="15" hidden="false" customHeight="false" outlineLevel="0" collapsed="false">
      <c r="A4" s="17"/>
      <c r="B4" s="14" t="s">
        <v>190</v>
      </c>
      <c r="C4" s="14" t="s">
        <v>95</v>
      </c>
      <c r="D4" s="18" t="n">
        <v>280</v>
      </c>
    </row>
    <row r="5" customFormat="false" ht="15" hidden="false" customHeight="false" outlineLevel="0" collapsed="false">
      <c r="A5" s="17" t="s">
        <v>142</v>
      </c>
      <c r="B5" s="14" t="s">
        <v>143</v>
      </c>
      <c r="C5" s="14" t="s">
        <v>191</v>
      </c>
      <c r="D5" s="18" t="n">
        <v>75</v>
      </c>
    </row>
    <row r="6" customFormat="false" ht="15" hidden="false" customHeight="false" outlineLevel="0" collapsed="false">
      <c r="A6" s="17"/>
      <c r="B6" s="14" t="s">
        <v>145</v>
      </c>
      <c r="C6" s="14" t="s">
        <v>192</v>
      </c>
      <c r="D6" s="18" t="n">
        <v>60</v>
      </c>
    </row>
    <row r="7" customFormat="false" ht="15" hidden="false" customHeight="false" outlineLevel="0" collapsed="false">
      <c r="A7" s="17"/>
      <c r="B7" s="14" t="s">
        <v>147</v>
      </c>
      <c r="C7" s="14" t="s">
        <v>117</v>
      </c>
      <c r="D7" s="18" t="n">
        <v>35</v>
      </c>
    </row>
    <row r="8" customFormat="false" ht="15" hidden="false" customHeight="false" outlineLevel="0" collapsed="false">
      <c r="A8" s="17"/>
      <c r="B8" s="14" t="s">
        <v>193</v>
      </c>
      <c r="C8" s="14" t="s">
        <v>146</v>
      </c>
      <c r="D8" s="18" t="n">
        <v>20</v>
      </c>
    </row>
    <row r="9" customFormat="false" ht="15" hidden="false" customHeight="false" outlineLevel="0" collapsed="false">
      <c r="A9" s="17"/>
      <c r="B9" s="14" t="s">
        <v>194</v>
      </c>
      <c r="C9" s="14" t="s">
        <v>92</v>
      </c>
      <c r="D9" s="18" t="n">
        <v>20</v>
      </c>
    </row>
    <row r="10" customFormat="false" ht="15" hidden="false" customHeight="false" outlineLevel="0" collapsed="false">
      <c r="A10" s="17" t="s">
        <v>150</v>
      </c>
      <c r="B10" s="14" t="s">
        <v>151</v>
      </c>
      <c r="C10" s="14" t="s">
        <v>90</v>
      </c>
      <c r="D10" s="18" t="n">
        <v>30</v>
      </c>
    </row>
    <row r="11" customFormat="false" ht="15" hidden="false" customHeight="false" outlineLevel="0" collapsed="false">
      <c r="A11" s="17"/>
      <c r="B11" s="14" t="s">
        <v>152</v>
      </c>
      <c r="C11" s="14" t="s">
        <v>90</v>
      </c>
      <c r="D11" s="18" t="n">
        <v>45</v>
      </c>
    </row>
    <row r="12" customFormat="false" ht="15" hidden="false" customHeight="false" outlineLevel="0" collapsed="false">
      <c r="A12" s="17"/>
      <c r="B12" s="14" t="s">
        <v>154</v>
      </c>
      <c r="C12" s="14" t="s">
        <v>195</v>
      </c>
      <c r="D12" s="18" t="n">
        <v>90</v>
      </c>
    </row>
    <row r="13" customFormat="false" ht="15" hidden="false" customHeight="false" outlineLevel="0" collapsed="false">
      <c r="A13" s="17"/>
      <c r="B13" s="14" t="s">
        <v>160</v>
      </c>
      <c r="C13" s="14" t="s">
        <v>88</v>
      </c>
      <c r="D13" s="18" t="n">
        <v>75</v>
      </c>
    </row>
    <row r="14" customFormat="false" ht="15" hidden="false" customHeight="false" outlineLevel="0" collapsed="false">
      <c r="A14" s="17"/>
      <c r="B14" s="14" t="s">
        <v>162</v>
      </c>
      <c r="C14" s="14" t="s">
        <v>95</v>
      </c>
      <c r="D14" s="18" t="n">
        <v>20</v>
      </c>
    </row>
    <row r="15" customFormat="false" ht="15" hidden="false" customHeight="false" outlineLevel="0" collapsed="false">
      <c r="A15" s="17"/>
      <c r="B15" s="14" t="s">
        <v>165</v>
      </c>
      <c r="C15" s="14" t="s">
        <v>166</v>
      </c>
      <c r="D15" s="18" t="n">
        <v>30</v>
      </c>
    </row>
    <row r="16" customFormat="false" ht="15" hidden="false" customHeight="false" outlineLevel="0" collapsed="false">
      <c r="A16" s="17"/>
      <c r="B16" s="14" t="s">
        <v>167</v>
      </c>
      <c r="C16" s="14" t="s">
        <v>196</v>
      </c>
      <c r="D16" s="18" t="n">
        <v>60</v>
      </c>
    </row>
    <row r="17" customFormat="false" ht="15" hidden="false" customHeight="false" outlineLevel="0" collapsed="false">
      <c r="A17" s="17"/>
      <c r="B17" s="14" t="s">
        <v>169</v>
      </c>
      <c r="C17" s="14" t="s">
        <v>170</v>
      </c>
      <c r="D17" s="18" t="n">
        <v>40</v>
      </c>
    </row>
    <row r="18" customFormat="false" ht="15" hidden="false" customHeight="false" outlineLevel="0" collapsed="false">
      <c r="A18" s="17"/>
      <c r="B18" s="14" t="s">
        <v>197</v>
      </c>
      <c r="C18" s="14" t="s">
        <v>92</v>
      </c>
      <c r="D18" s="18" t="n">
        <v>25</v>
      </c>
    </row>
    <row r="19" customFormat="false" ht="15" hidden="false" customHeight="false" outlineLevel="0" collapsed="false">
      <c r="A19" s="17"/>
      <c r="B19" s="14" t="s">
        <v>153</v>
      </c>
      <c r="C19" s="14" t="s">
        <v>92</v>
      </c>
      <c r="D19" s="18" t="n">
        <v>20</v>
      </c>
    </row>
    <row r="20" customFormat="false" ht="15" hidden="false" customHeight="false" outlineLevel="0" collapsed="false">
      <c r="A20" s="17"/>
      <c r="B20" s="14" t="s">
        <v>172</v>
      </c>
      <c r="C20" s="14" t="s">
        <v>173</v>
      </c>
      <c r="D20" s="18" t="n">
        <v>50</v>
      </c>
    </row>
    <row r="21" customFormat="false" ht="15" hidden="false" customHeight="false" outlineLevel="0" collapsed="false">
      <c r="A21" s="17"/>
      <c r="B21" s="14" t="s">
        <v>174</v>
      </c>
      <c r="C21" s="14" t="s">
        <v>95</v>
      </c>
      <c r="D21" s="18" t="n">
        <v>20</v>
      </c>
    </row>
    <row r="22" customFormat="false" ht="15" hidden="false" customHeight="false" outlineLevel="0" collapsed="false">
      <c r="A22" s="17"/>
      <c r="B22" s="14" t="s">
        <v>198</v>
      </c>
      <c r="C22" s="14" t="s">
        <v>157</v>
      </c>
      <c r="D22" s="18" t="n">
        <v>10</v>
      </c>
    </row>
    <row r="23" customFormat="false" ht="23.85" hidden="false" customHeight="false" outlineLevel="0" collapsed="false">
      <c r="A23" s="17"/>
      <c r="B23" s="14" t="s">
        <v>199</v>
      </c>
      <c r="C23" s="14" t="s">
        <v>176</v>
      </c>
      <c r="D23" s="18" t="n">
        <v>30</v>
      </c>
    </row>
    <row r="24" customFormat="false" ht="15" hidden="false" customHeight="false" outlineLevel="0" collapsed="false">
      <c r="A24" s="17" t="s">
        <v>177</v>
      </c>
      <c r="B24" s="14" t="s">
        <v>178</v>
      </c>
      <c r="C24" s="14" t="s">
        <v>95</v>
      </c>
      <c r="D24" s="18" t="n">
        <v>15</v>
      </c>
    </row>
    <row r="25" customFormat="false" ht="15" hidden="false" customHeight="false" outlineLevel="0" collapsed="false">
      <c r="A25" s="17"/>
      <c r="B25" s="14" t="s">
        <v>200</v>
      </c>
      <c r="C25" s="14" t="s">
        <v>95</v>
      </c>
      <c r="D25" s="18" t="n">
        <v>40</v>
      </c>
    </row>
    <row r="26" customFormat="false" ht="15" hidden="false" customHeight="false" outlineLevel="0" collapsed="false">
      <c r="A26" s="17"/>
      <c r="B26" s="14" t="s">
        <v>201</v>
      </c>
      <c r="C26" s="14" t="s">
        <v>182</v>
      </c>
      <c r="D26" s="18" t="n">
        <v>60</v>
      </c>
    </row>
    <row r="27" customFormat="false" ht="15" hidden="false" customHeight="false" outlineLevel="0" collapsed="false">
      <c r="A27" s="17" t="s">
        <v>183</v>
      </c>
      <c r="B27" s="14" t="s">
        <v>184</v>
      </c>
      <c r="C27" s="14" t="s">
        <v>95</v>
      </c>
      <c r="D27" s="18" t="n">
        <v>25</v>
      </c>
    </row>
    <row r="28" customFormat="false" ht="15" hidden="false" customHeight="false" outlineLevel="0" collapsed="false">
      <c r="A28" s="17" t="s">
        <v>185</v>
      </c>
      <c r="B28" s="14" t="s">
        <v>186</v>
      </c>
      <c r="C28" s="14" t="s">
        <v>187</v>
      </c>
      <c r="D28" s="18" t="n">
        <v>50</v>
      </c>
    </row>
    <row r="30" customFormat="false" ht="15" hidden="false" customHeight="false" outlineLevel="0" collapsed="false">
      <c r="A30" s="6" t="s">
        <v>137</v>
      </c>
      <c r="B30" s="6"/>
      <c r="C30" s="6"/>
      <c r="D30" s="7" t="n">
        <f aca="false">SUM(D3:D28)</f>
        <v>1405</v>
      </c>
    </row>
  </sheetData>
  <mergeCells count="2">
    <mergeCell ref="A1:D1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24" hidden="false" customHeight="true" outlineLevel="0" collapsed="false">
      <c r="A1" s="1" t="s">
        <v>202</v>
      </c>
      <c r="B1" s="1"/>
      <c r="C1" s="1"/>
      <c r="D1" s="1"/>
    </row>
    <row r="2" customFormat="false" ht="21.75" hidden="false" customHeight="true" outlineLevel="0" collapsed="false">
      <c r="A2" s="2" t="s">
        <v>83</v>
      </c>
      <c r="B2" s="2" t="s">
        <v>84</v>
      </c>
      <c r="C2" s="2" t="s">
        <v>85</v>
      </c>
      <c r="D2" s="2" t="s">
        <v>3</v>
      </c>
    </row>
    <row r="3" customFormat="false" ht="15" hidden="false" customHeight="false" outlineLevel="0" collapsed="false">
      <c r="A3" s="17" t="s">
        <v>139</v>
      </c>
      <c r="B3" s="14" t="s">
        <v>203</v>
      </c>
      <c r="C3" s="14" t="s">
        <v>90</v>
      </c>
      <c r="D3" s="18" t="n">
        <v>180</v>
      </c>
    </row>
    <row r="4" customFormat="false" ht="15" hidden="false" customHeight="false" outlineLevel="0" collapsed="false">
      <c r="A4" s="17"/>
      <c r="B4" s="14" t="s">
        <v>190</v>
      </c>
      <c r="C4" s="14" t="s">
        <v>95</v>
      </c>
      <c r="D4" s="18" t="n">
        <v>280</v>
      </c>
    </row>
    <row r="5" customFormat="false" ht="15" hidden="false" customHeight="false" outlineLevel="0" collapsed="false">
      <c r="A5" s="17" t="s">
        <v>142</v>
      </c>
      <c r="B5" s="14" t="s">
        <v>143</v>
      </c>
      <c r="C5" s="14" t="s">
        <v>204</v>
      </c>
      <c r="D5" s="18" t="n">
        <v>100</v>
      </c>
    </row>
    <row r="6" customFormat="false" ht="15" hidden="false" customHeight="false" outlineLevel="0" collapsed="false">
      <c r="A6" s="17"/>
      <c r="B6" s="14" t="s">
        <v>145</v>
      </c>
      <c r="C6" s="14" t="s">
        <v>192</v>
      </c>
      <c r="D6" s="18" t="n">
        <v>60</v>
      </c>
    </row>
    <row r="7" customFormat="false" ht="15" hidden="false" customHeight="false" outlineLevel="0" collapsed="false">
      <c r="A7" s="17"/>
      <c r="B7" s="14" t="s">
        <v>147</v>
      </c>
      <c r="C7" s="14" t="s">
        <v>117</v>
      </c>
      <c r="D7" s="18" t="n">
        <v>35</v>
      </c>
    </row>
    <row r="8" customFormat="false" ht="15" hidden="false" customHeight="false" outlineLevel="0" collapsed="false">
      <c r="A8" s="17"/>
      <c r="B8" s="14" t="s">
        <v>205</v>
      </c>
      <c r="C8" s="14" t="s">
        <v>206</v>
      </c>
      <c r="D8" s="18" t="n">
        <v>40</v>
      </c>
    </row>
    <row r="9" customFormat="false" ht="15" hidden="false" customHeight="false" outlineLevel="0" collapsed="false">
      <c r="A9" s="17"/>
      <c r="B9" s="14" t="s">
        <v>194</v>
      </c>
      <c r="C9" s="14" t="s">
        <v>92</v>
      </c>
      <c r="D9" s="18" t="n">
        <v>20</v>
      </c>
    </row>
    <row r="10" customFormat="false" ht="15" hidden="false" customHeight="false" outlineLevel="0" collapsed="false">
      <c r="A10" s="17" t="s">
        <v>150</v>
      </c>
      <c r="B10" s="14" t="s">
        <v>151</v>
      </c>
      <c r="C10" s="14" t="s">
        <v>95</v>
      </c>
      <c r="D10" s="18" t="n">
        <v>20</v>
      </c>
    </row>
    <row r="11" customFormat="false" ht="15" hidden="false" customHeight="false" outlineLevel="0" collapsed="false">
      <c r="A11" s="17"/>
      <c r="B11" s="14" t="s">
        <v>152</v>
      </c>
      <c r="C11" s="14" t="s">
        <v>95</v>
      </c>
      <c r="D11" s="18" t="n">
        <v>30</v>
      </c>
    </row>
    <row r="12" customFormat="false" ht="15" hidden="false" customHeight="false" outlineLevel="0" collapsed="false">
      <c r="A12" s="17"/>
      <c r="B12" s="14" t="s">
        <v>156</v>
      </c>
      <c r="C12" s="14" t="s">
        <v>195</v>
      </c>
      <c r="D12" s="18" t="n">
        <v>60</v>
      </c>
    </row>
    <row r="13" customFormat="false" ht="15" hidden="false" customHeight="false" outlineLevel="0" collapsed="false">
      <c r="A13" s="17"/>
      <c r="B13" s="14" t="s">
        <v>153</v>
      </c>
      <c r="C13" s="14" t="s">
        <v>90</v>
      </c>
      <c r="D13" s="18" t="n">
        <v>60</v>
      </c>
    </row>
    <row r="14" customFormat="false" ht="15" hidden="false" customHeight="false" outlineLevel="0" collapsed="false">
      <c r="A14" s="17"/>
      <c r="B14" s="14" t="s">
        <v>154</v>
      </c>
      <c r="C14" s="14" t="s">
        <v>157</v>
      </c>
      <c r="D14" s="18" t="n">
        <v>30</v>
      </c>
    </row>
    <row r="15" customFormat="false" ht="15" hidden="false" customHeight="false" outlineLevel="0" collapsed="false">
      <c r="A15" s="17"/>
      <c r="B15" s="14" t="s">
        <v>160</v>
      </c>
      <c r="C15" s="14" t="s">
        <v>88</v>
      </c>
      <c r="D15" s="18" t="n">
        <v>75</v>
      </c>
    </row>
    <row r="16" customFormat="false" ht="15" hidden="false" customHeight="false" outlineLevel="0" collapsed="false">
      <c r="A16" s="17"/>
      <c r="B16" s="14" t="s">
        <v>207</v>
      </c>
      <c r="C16" s="14" t="s">
        <v>92</v>
      </c>
      <c r="D16" s="18" t="n">
        <v>15</v>
      </c>
    </row>
    <row r="17" customFormat="false" ht="15" hidden="false" customHeight="false" outlineLevel="0" collapsed="false">
      <c r="A17" s="17"/>
      <c r="B17" s="14" t="s">
        <v>162</v>
      </c>
      <c r="C17" s="14" t="s">
        <v>90</v>
      </c>
      <c r="D17" s="18" t="n">
        <v>30</v>
      </c>
    </row>
    <row r="18" customFormat="false" ht="15" hidden="false" customHeight="false" outlineLevel="0" collapsed="false">
      <c r="A18" s="17"/>
      <c r="B18" s="14" t="s">
        <v>163</v>
      </c>
      <c r="C18" s="14" t="s">
        <v>164</v>
      </c>
      <c r="D18" s="18" t="n">
        <v>10</v>
      </c>
    </row>
    <row r="19" customFormat="false" ht="15" hidden="false" customHeight="false" outlineLevel="0" collapsed="false">
      <c r="A19" s="17"/>
      <c r="B19" s="14" t="s">
        <v>165</v>
      </c>
      <c r="C19" s="14" t="s">
        <v>166</v>
      </c>
      <c r="D19" s="18" t="n">
        <v>30</v>
      </c>
    </row>
    <row r="20" customFormat="false" ht="15" hidden="false" customHeight="false" outlineLevel="0" collapsed="false">
      <c r="A20" s="17"/>
      <c r="B20" s="14" t="s">
        <v>167</v>
      </c>
      <c r="C20" s="14" t="s">
        <v>168</v>
      </c>
      <c r="D20" s="18" t="n">
        <v>80</v>
      </c>
    </row>
    <row r="21" customFormat="false" ht="15" hidden="false" customHeight="false" outlineLevel="0" collapsed="false">
      <c r="A21" s="17"/>
      <c r="B21" s="14" t="s">
        <v>169</v>
      </c>
      <c r="C21" s="14" t="s">
        <v>170</v>
      </c>
      <c r="D21" s="18" t="n">
        <v>40</v>
      </c>
    </row>
    <row r="22" customFormat="false" ht="15" hidden="false" customHeight="false" outlineLevel="0" collapsed="false">
      <c r="A22" s="17"/>
      <c r="B22" s="14" t="s">
        <v>208</v>
      </c>
      <c r="C22" s="14" t="s">
        <v>92</v>
      </c>
      <c r="D22" s="18" t="n">
        <v>30</v>
      </c>
    </row>
    <row r="23" customFormat="false" ht="15" hidden="false" customHeight="false" outlineLevel="0" collapsed="false">
      <c r="A23" s="17"/>
      <c r="B23" s="14" t="s">
        <v>172</v>
      </c>
      <c r="C23" s="14" t="s">
        <v>173</v>
      </c>
      <c r="D23" s="18" t="n">
        <v>50</v>
      </c>
    </row>
    <row r="24" customFormat="false" ht="15" hidden="false" customHeight="false" outlineLevel="0" collapsed="false">
      <c r="A24" s="17"/>
      <c r="B24" s="14" t="s">
        <v>174</v>
      </c>
      <c r="C24" s="14" t="s">
        <v>95</v>
      </c>
      <c r="D24" s="18" t="n">
        <v>20</v>
      </c>
    </row>
    <row r="25" customFormat="false" ht="23.85" hidden="false" customHeight="false" outlineLevel="0" collapsed="false">
      <c r="A25" s="17"/>
      <c r="B25" s="14" t="s">
        <v>209</v>
      </c>
      <c r="C25" s="14" t="s">
        <v>176</v>
      </c>
      <c r="D25" s="18" t="n">
        <v>40</v>
      </c>
    </row>
    <row r="26" customFormat="false" ht="15" hidden="false" customHeight="false" outlineLevel="0" collapsed="false">
      <c r="A26" s="17" t="s">
        <v>177</v>
      </c>
      <c r="B26" s="14" t="s">
        <v>178</v>
      </c>
      <c r="C26" s="14" t="s">
        <v>95</v>
      </c>
      <c r="D26" s="18" t="n">
        <v>15</v>
      </c>
    </row>
    <row r="27" customFormat="false" ht="15" hidden="false" customHeight="false" outlineLevel="0" collapsed="false">
      <c r="A27" s="17"/>
      <c r="B27" s="14" t="s">
        <v>201</v>
      </c>
      <c r="C27" s="14" t="s">
        <v>182</v>
      </c>
      <c r="D27" s="18" t="n">
        <v>70</v>
      </c>
    </row>
    <row r="28" customFormat="false" ht="15" hidden="false" customHeight="false" outlineLevel="0" collapsed="false">
      <c r="A28" s="17" t="s">
        <v>183</v>
      </c>
      <c r="B28" s="14" t="s">
        <v>184</v>
      </c>
      <c r="C28" s="14" t="s">
        <v>90</v>
      </c>
      <c r="D28" s="18" t="n">
        <v>40</v>
      </c>
    </row>
    <row r="29" customFormat="false" ht="15" hidden="false" customHeight="false" outlineLevel="0" collapsed="false">
      <c r="A29" s="17" t="s">
        <v>185</v>
      </c>
      <c r="B29" s="14" t="s">
        <v>186</v>
      </c>
      <c r="C29" s="14" t="s">
        <v>187</v>
      </c>
      <c r="D29" s="18" t="n">
        <v>50</v>
      </c>
    </row>
    <row r="31" customFormat="false" ht="15" hidden="false" customHeight="false" outlineLevel="0" collapsed="false">
      <c r="A31" s="6" t="s">
        <v>137</v>
      </c>
      <c r="B31" s="6"/>
      <c r="C31" s="6"/>
      <c r="D31" s="7" t="n">
        <f aca="false">SUM(D3:D29)</f>
        <v>1510</v>
      </c>
    </row>
  </sheetData>
  <mergeCells count="2">
    <mergeCell ref="A1:D1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2026-04-21T16:42:07Z</dcterms:created>
  <dc:creator>openpyxl</dc:creator>
  <dc:description/>
  <dc:language>en-US</dc:language>
  <cp:lastModifiedBy/>
  <dcterms:modified xsi:type="dcterms:W3CDTF">2026-04-21T16:42:07Z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